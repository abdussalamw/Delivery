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وصّلون" sheetId="1" state="visible" r:id="rId3"/>
    <sheet name="الطلبات" sheetId="2" state="visible" r:id="rId4"/>
    <sheet name="العملاء" sheetId="3" state="visible" r:id="rId5"/>
    <sheet name="التقرير اليومي" sheetId="4" state="visible" r:id="rId6"/>
    <sheet name="التقرير الشهري" sheetId="5" state="visible" r:id="rId7"/>
    <sheet name="الإعدادات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<sst xmlns="http://schemas.openxmlformats.org/spreadsheetml/2006/main" count="271" uniqueCount="125">
  <si>
    <t xml:space="preserve">🚴 إدارة الموصّلين — نظام التوصيل</t>
  </si>
  <si>
    <t xml:space="preserve">آخر تحديث: 2026/04/12</t>
  </si>
  <si>
    <t xml:space="preserve">#</t>
  </si>
  <si>
    <t xml:space="preserve">اسم الموصّل</t>
  </si>
  <si>
    <t xml:space="preserve">رقم الجوال</t>
  </si>
  <si>
    <t xml:space="preserve">المنطقة</t>
  </si>
  <si>
    <t xml:space="preserve">الحالة</t>
  </si>
  <si>
    <t xml:space="preserve">طلبات اليوم</t>
  </si>
  <si>
    <t xml:space="preserve">طلبات الشهر</t>
  </si>
  <si>
    <t xml:space="preserve">التقييم</t>
  </si>
  <si>
    <t xml:space="preserve">تاريخ الانضمام</t>
  </si>
  <si>
    <t xml:space="preserve">ملاحظات</t>
  </si>
  <si>
    <t xml:space="preserve">محمد العمري</t>
  </si>
  <si>
    <t xml:space="preserve">0501234567</t>
  </si>
  <si>
    <t xml:space="preserve">الشمال</t>
  </si>
  <si>
    <t xml:space="preserve">متاح</t>
  </si>
  <si>
    <t xml:space="preserve">2024/01/15</t>
  </si>
  <si>
    <t xml:space="preserve">خالد السالم</t>
  </si>
  <si>
    <t xml:space="preserve">0509876543</t>
  </si>
  <si>
    <t xml:space="preserve">الجنوب</t>
  </si>
  <si>
    <t xml:space="preserve">2024/02/01</t>
  </si>
  <si>
    <t xml:space="preserve">عبدالله الزهراني</t>
  </si>
  <si>
    <t xml:space="preserve">0555111222</t>
  </si>
  <si>
    <t xml:space="preserve">الوسط</t>
  </si>
  <si>
    <t xml:space="preserve">مشغول</t>
  </si>
  <si>
    <t xml:space="preserve">2024/01/20</t>
  </si>
  <si>
    <t xml:space="preserve">سعد القحطاني</t>
  </si>
  <si>
    <t xml:space="preserve">0544333444</t>
  </si>
  <si>
    <t xml:space="preserve">الشرق</t>
  </si>
  <si>
    <t xml:space="preserve">2024/03/10</t>
  </si>
  <si>
    <t xml:space="preserve">📦 سجل الطلبات الكامل</t>
  </si>
  <si>
    <t xml:space="preserve">يتم تحديث هذا الجدول تلقائياً عبر n8n — لا تعدّل يدوياً إلا عند الضرورة</t>
  </si>
  <si>
    <t xml:space="preserve">التاريخ</t>
  </si>
  <si>
    <t xml:space="preserve">رقم الطلب</t>
  </si>
  <si>
    <t xml:space="preserve">اسم العميل</t>
  </si>
  <si>
    <t xml:space="preserve">رقم العميل</t>
  </si>
  <si>
    <t xml:space="preserve">تفاصيل الطلب</t>
  </si>
  <si>
    <t xml:space="preserve">سعر التوصيل</t>
  </si>
  <si>
    <t xml:space="preserve">وقت الاستلام</t>
  </si>
  <si>
    <t xml:space="preserve">وقت التسليم</t>
  </si>
  <si>
    <t xml:space="preserve">المدة (دقيقة)</t>
  </si>
  <si>
    <t xml:space="preserve">تقييم العميل</t>
  </si>
  <si>
    <t xml:space="preserve">ORD-1001</t>
  </si>
  <si>
    <t xml:space="preserve">فاطمة علي</t>
  </si>
  <si>
    <t xml:space="preserve">0502222222</t>
  </si>
  <si>
    <t xml:space="preserve">طلب توصيل</t>
  </si>
  <si>
    <t xml:space="preserve">مكتمل</t>
  </si>
  <si>
    <t xml:space="preserve">011:30</t>
  </si>
  <si>
    <t xml:space="preserve">012:30</t>
  </si>
  <si>
    <t xml:space="preserve">ORD-1002</t>
  </si>
  <si>
    <t xml:space="preserve">نورة سعد</t>
  </si>
  <si>
    <t xml:space="preserve">0504444444</t>
  </si>
  <si>
    <t xml:space="preserve">011:45</t>
  </si>
  <si>
    <t xml:space="preserve">010:45</t>
  </si>
  <si>
    <t xml:space="preserve">ORD-1003</t>
  </si>
  <si>
    <t xml:space="preserve">ملغي</t>
  </si>
  <si>
    <t xml:space="preserve">011:15</t>
  </si>
  <si>
    <t xml:space="preserve">012:15</t>
  </si>
  <si>
    <t xml:space="preserve">ORD-1004</t>
  </si>
  <si>
    <t xml:space="preserve">عمر خالد</t>
  </si>
  <si>
    <t xml:space="preserve">0503333333</t>
  </si>
  <si>
    <t xml:space="preserve">08:00</t>
  </si>
  <si>
    <t xml:space="preserve">ORD-1005</t>
  </si>
  <si>
    <t xml:space="preserve">09:15</t>
  </si>
  <si>
    <t xml:space="preserve">ORD-1006</t>
  </si>
  <si>
    <t xml:space="preserve">09:00</t>
  </si>
  <si>
    <t xml:space="preserve">ORD-1007</t>
  </si>
  <si>
    <t xml:space="preserve">يوسف طه</t>
  </si>
  <si>
    <t xml:space="preserve">0505555555</t>
  </si>
  <si>
    <t xml:space="preserve">09:30</t>
  </si>
  <si>
    <t xml:space="preserve">ORD-1008</t>
  </si>
  <si>
    <t xml:space="preserve">أحمد محمد</t>
  </si>
  <si>
    <t xml:space="preserve">0501111111</t>
  </si>
  <si>
    <t xml:space="preserve">ORD-1009</t>
  </si>
  <si>
    <t xml:space="preserve">010:30</t>
  </si>
  <si>
    <t xml:space="preserve">ORD-1010</t>
  </si>
  <si>
    <t xml:space="preserve">08:45</t>
  </si>
  <si>
    <t xml:space="preserve">012:45</t>
  </si>
  <si>
    <t xml:space="preserve">ORD-1011</t>
  </si>
  <si>
    <t xml:space="preserve">013:30</t>
  </si>
  <si>
    <t xml:space="preserve">ORD-1012</t>
  </si>
  <si>
    <t xml:space="preserve">قيد التوصيل</t>
  </si>
  <si>
    <t xml:space="preserve">010:00</t>
  </si>
  <si>
    <t xml:space="preserve">ORD-1013</t>
  </si>
  <si>
    <t xml:space="preserve">08:15</t>
  </si>
  <si>
    <t xml:space="preserve">ORD-1014</t>
  </si>
  <si>
    <t xml:space="preserve">ORD-1015</t>
  </si>
  <si>
    <t xml:space="preserve">👥 قاعدة بيانات العملاء</t>
  </si>
  <si>
    <t xml:space="preserve">المنطقة / الحي</t>
  </si>
  <si>
    <t xml:space="preserve">إجمالي الطلبات</t>
  </si>
  <si>
    <t xml:space="preserve">آخر طلب</t>
  </si>
  <si>
    <t xml:space="preserve">إجمالي الإنفاق</t>
  </si>
  <si>
    <t xml:space="preserve">نشط</t>
  </si>
  <si>
    <t xml:space="preserve">📊 التقرير اليومي</t>
  </si>
  <si>
    <t xml:space="preserve">إجمالي طلبات اليوم</t>
  </si>
  <si>
    <t xml:space="preserve">طلبات مكتملة اليوم</t>
  </si>
  <si>
    <t xml:space="preserve">طلبات ملغاة اليوم</t>
  </si>
  <si>
    <t xml:space="preserve">إيرادات اليوم (ر.س)</t>
  </si>
  <si>
    <t xml:space="preserve">أداء الموصّلين اليوم</t>
  </si>
  <si>
    <t xml:space="preserve">الموصّل</t>
  </si>
  <si>
    <t xml:space="preserve">مكتملة</t>
  </si>
  <si>
    <t xml:space="preserve">ملغاة</t>
  </si>
  <si>
    <t xml:space="preserve">متوسط الوقت (د)</t>
  </si>
  <si>
    <t xml:space="preserve">الإيرادات</t>
  </si>
  <si>
    <t xml:space="preserve">نسبة الإنجاز</t>
  </si>
  <si>
    <t xml:space="preserve">📈 التقرير الشهري — ملخص الأداء</t>
  </si>
  <si>
    <t xml:space="preserve">الشهر:</t>
  </si>
  <si>
    <t xml:space="preserve">مؤشرات الأداء الشهرية</t>
  </si>
  <si>
    <t xml:space="preserve">الطلبات المكتملة</t>
  </si>
  <si>
    <t xml:space="preserve">الطلبات الملغاة</t>
  </si>
  <si>
    <t xml:space="preserve">إجمالي الإيرادات</t>
  </si>
  <si>
    <t xml:space="preserve">متوسط طلبات/يوم</t>
  </si>
  <si>
    <t xml:space="preserve">مقارنة أداء الموصّلين — الشهر الحالي</t>
  </si>
  <si>
    <t xml:space="preserve">متوسط الوقت</t>
  </si>
  <si>
    <t xml:space="preserve">الترتيب</t>
  </si>
  <si>
    <t xml:space="preserve">⚙️ إعدادات النظام</t>
  </si>
  <si>
    <t xml:space="preserve">أسعار التوصيل</t>
  </si>
  <si>
    <t xml:space="preserve">السعر (ر.س)</t>
  </si>
  <si>
    <t xml:space="preserve">الحد الأدنى للطلب</t>
  </si>
  <si>
    <t xml:space="preserve">إعدادات العمل</t>
  </si>
  <si>
    <t xml:space="preserve">بداية الدوام</t>
  </si>
  <si>
    <t xml:space="preserve">نهاية الدوام</t>
  </si>
  <si>
    <t xml:space="preserve">22:00</t>
  </si>
  <si>
    <t xml:space="preserve">الحد الأقصى للطلبات/موصّل</t>
  </si>
  <si>
    <t xml:space="preserve">رسوم الطلب الإضافي (ر.س)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</si>
</sst>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/mm/dd"/>
    <numFmt numFmtId="166" formatCode="#,##0&quot; ر.س&quot;"/>
    <numFmt numFmtId="167" formatCode="General"/>
    <numFmt numFmtId="168" formatCode="0%"/>
    <numFmt numFmtId="169" formatCode="0.0%"/>
    <numFmt numFmtId="170" formatCode="0&quot; دقيقة&quot;"/>
    <numFmt numFmtId="171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0A5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5640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B2A4A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22"/>
      <color rgb="FFE74C3C"/>
      <name val="Arial"/>
      <family val="0"/>
      <charset val="1"/>
    </font>
    <font>
      <b val="true"/>
      <sz val="22"/>
      <color rgb="FFF0A5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2D4373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4373"/>
        <bgColor rgb="FF1B2A4A"/>
      </patternFill>
    </fill>
    <fill>
      <patternFill patternType="solid">
        <fgColor rgb="FFF0A500"/>
        <bgColor rgb="FFFFCC00"/>
      </patternFill>
    </fill>
    <fill>
      <patternFill patternType="solid">
        <fgColor rgb="FFEBF5FB"/>
        <bgColor rgb="FFF5F7FA"/>
      </patternFill>
    </fill>
    <fill>
      <patternFill patternType="solid">
        <fgColor rgb="FFFFFFFF"/>
        <bgColor rgb="FFF5F7FA"/>
      </patternFill>
    </fill>
    <fill>
      <patternFill patternType="solid">
        <fgColor rgb="FFFFF3CD"/>
        <bgColor rgb="FFFEF9E7"/>
      </patternFill>
    </fill>
    <fill>
      <patternFill patternType="solid">
        <fgColor rgb="FF27AE60"/>
        <bgColor rgb="FF008080"/>
      </patternFill>
    </fill>
    <fill>
      <patternFill patternType="solid">
        <fgColor rgb="FFE74C3C"/>
        <bgColor rgb="FFFF8080"/>
      </patternFill>
    </fill>
    <fill>
      <patternFill patternType="solid">
        <fgColor rgb="FFF5F7FA"/>
        <bgColor rgb="FFEB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EF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BDC3C7"/>
      <rgbColor rgb="FF808080"/>
      <rgbColor rgb="FF9999FF"/>
      <rgbColor rgb="FF993366"/>
      <rgbColor rgb="FFFFF3CD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5F5E3"/>
      <rgbColor rgb="FFFEF9E7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0A5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2D4373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2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n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n">
        <f aca="true">COUNTIFS(الطلبات!C:C,B4,الطلبات!A:A,TODAY())</f>
        <v>0</v>
      </c>
      <c r="G4" s="4" t="n">
        <f aca="true">COUNTIFS(الطلبات!C:C,B4,الطلبات!A:A,"&gt;="&amp;DATE(YEAR(TODAY()),MONTH(TODAY()),1))</f>
        <v>4</v>
      </c>
      <c r="H4" s="4" t="n">
        <v>4.8</v>
      </c>
      <c r="I4" s="4" t="s">
        <v>16</v>
      </c>
      <c r="J4" s="4"/>
    </row>
    <row r="5" customFormat="false" ht="15" hidden="false" customHeight="false" outlineLevel="0" collapsed="false">
      <c r="A5" s="5" t="n">
        <v>2</v>
      </c>
      <c r="B5" s="5" t="s">
        <v>17</v>
      </c>
      <c r="C5" s="5" t="s">
        <v>18</v>
      </c>
      <c r="D5" s="5" t="s">
        <v>19</v>
      </c>
      <c r="E5" s="5" t="s">
        <v>15</v>
      </c>
      <c r="F5" s="5" t="n">
        <f aca="true">COUNTIFS(الطلبات!C:C,B5,الطلبات!A:A,TODAY())</f>
        <v>0</v>
      </c>
      <c r="G5" s="5" t="n">
        <f aca="true">COUNTIFS(الطلبات!C:C,B5,الطلبات!A:A,"&gt;="&amp;DATE(YEAR(TODAY()),MONTH(TODAY()),1))</f>
        <v>4</v>
      </c>
      <c r="H5" s="5" t="n">
        <v>4.6</v>
      </c>
      <c r="I5" s="5" t="s">
        <v>20</v>
      </c>
      <c r="J5" s="5"/>
    </row>
    <row r="6" customFormat="false" ht="15" hidden="false" customHeight="false" outlineLevel="0" collapsed="false">
      <c r="A6" s="4" t="n">
        <v>3</v>
      </c>
      <c r="B6" s="4" t="s">
        <v>21</v>
      </c>
      <c r="C6" s="4" t="s">
        <v>22</v>
      </c>
      <c r="D6" s="4" t="s">
        <v>23</v>
      </c>
      <c r="E6" s="4" t="s">
        <v>24</v>
      </c>
      <c r="F6" s="4" t="n">
        <f aca="true">COUNTIFS(الطلبات!C:C,B6,الطلبات!A:A,TODAY())</f>
        <v>1</v>
      </c>
      <c r="G6" s="4" t="n">
        <f aca="true">COUNTIFS(الطلبات!C:C,B6,الطلبات!A:A,"&gt;="&amp;DATE(YEAR(TODAY()),MONTH(TODAY()),1))</f>
        <v>4</v>
      </c>
      <c r="H6" s="4" t="n">
        <v>4.9</v>
      </c>
      <c r="I6" s="4" t="s">
        <v>25</v>
      </c>
      <c r="J6" s="4"/>
    </row>
    <row r="7" customFormat="false" ht="15" hidden="false" customHeight="false" outlineLevel="0" collapsed="false">
      <c r="A7" s="5" t="n">
        <v>4</v>
      </c>
      <c r="B7" s="5" t="s">
        <v>26</v>
      </c>
      <c r="C7" s="5" t="s">
        <v>27</v>
      </c>
      <c r="D7" s="5" t="s">
        <v>28</v>
      </c>
      <c r="E7" s="5" t="s">
        <v>15</v>
      </c>
      <c r="F7" s="5" t="n">
        <f aca="true">COUNTIFS(الطلبات!C:C,B7,الطلبات!A:A,TODAY())</f>
        <v>2</v>
      </c>
      <c r="G7" s="5" t="n">
        <f aca="true">COUNTIFS(الطلبات!C:C,B7,الطلبات!A:A,"&gt;="&amp;DATE(YEAR(TODAY()),MONTH(TODAY()),1))</f>
        <v>3</v>
      </c>
      <c r="H7" s="5" t="n">
        <v>4.7</v>
      </c>
      <c r="I7" s="5" t="s">
        <v>29</v>
      </c>
      <c r="J7" s="5"/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E4:E100" type="list">
      <formula1>"متاح,مشغول,إجازة,موقوف"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A500"/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0"/>
  </cols>
  <sheetData>
    <row r="1" customFormat="false" ht="4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65" hidden="false" customHeight="false" outlineLevel="0" collapsed="false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34.5" hidden="false" customHeight="true" outlineLevel="0" collapsed="false">
      <c r="A3" s="7" t="s">
        <v>32</v>
      </c>
      <c r="B3" s="7" t="s">
        <v>33</v>
      </c>
      <c r="C3" s="7" t="s">
        <v>3</v>
      </c>
      <c r="D3" s="7" t="s">
        <v>34</v>
      </c>
      <c r="E3" s="7" t="s">
        <v>35</v>
      </c>
      <c r="F3" s="7" t="s">
        <v>5</v>
      </c>
      <c r="G3" s="7" t="s">
        <v>36</v>
      </c>
      <c r="H3" s="7" t="s">
        <v>37</v>
      </c>
      <c r="I3" s="7" t="s">
        <v>6</v>
      </c>
      <c r="J3" s="7" t="s">
        <v>38</v>
      </c>
      <c r="K3" s="7" t="s">
        <v>39</v>
      </c>
      <c r="L3" s="7" t="s">
        <v>40</v>
      </c>
      <c r="M3" s="7" t="s">
        <v>41</v>
      </c>
      <c r="N3" s="7" t="s">
        <v>11</v>
      </c>
    </row>
    <row r="4" customFormat="false" ht="15" hidden="false" customHeight="false" outlineLevel="0" collapsed="false">
      <c r="A4" s="8" t="n">
        <v>46124</v>
      </c>
      <c r="B4" s="4" t="s">
        <v>42</v>
      </c>
      <c r="C4" s="4" t="s">
        <v>21</v>
      </c>
      <c r="D4" s="4" t="s">
        <v>43</v>
      </c>
      <c r="E4" s="4" t="s">
        <v>44</v>
      </c>
      <c r="F4" s="4" t="s">
        <v>19</v>
      </c>
      <c r="G4" s="4" t="s">
        <v>45</v>
      </c>
      <c r="H4" s="9" t="n">
        <v>10</v>
      </c>
      <c r="I4" s="4" t="s">
        <v>46</v>
      </c>
      <c r="J4" s="4" t="s">
        <v>47</v>
      </c>
      <c r="K4" s="4" t="s">
        <v>48</v>
      </c>
      <c r="L4" s="4" t="n">
        <f aca="false">IF(AND(J4&lt;&gt;"",K4&lt;&gt;""),(TIMEVALUE(K4)-TIMEVALUE(J4))*1440,"")</f>
        <v>60</v>
      </c>
      <c r="M4" s="4" t="n">
        <v>4</v>
      </c>
      <c r="N4" s="4"/>
    </row>
    <row r="5" customFormat="false" ht="15" hidden="false" customHeight="false" outlineLevel="0" collapsed="false">
      <c r="A5" s="10" t="n">
        <v>46122</v>
      </c>
      <c r="B5" s="5" t="s">
        <v>49</v>
      </c>
      <c r="C5" s="5" t="s">
        <v>17</v>
      </c>
      <c r="D5" s="5" t="s">
        <v>50</v>
      </c>
      <c r="E5" s="5" t="s">
        <v>51</v>
      </c>
      <c r="F5" s="5" t="s">
        <v>28</v>
      </c>
      <c r="G5" s="5" t="s">
        <v>45</v>
      </c>
      <c r="H5" s="11" t="n">
        <v>10</v>
      </c>
      <c r="I5" s="5" t="s">
        <v>46</v>
      </c>
      <c r="J5" s="5" t="s">
        <v>52</v>
      </c>
      <c r="K5" s="5" t="s">
        <v>53</v>
      </c>
      <c r="L5" s="5" t="n">
        <f aca="false">IF(AND(J5&lt;&gt;"",K5&lt;&gt;""),(TIMEVALUE(K5)-TIMEVALUE(J5))*1440,"")</f>
        <v>-60</v>
      </c>
      <c r="M5" s="5" t="n">
        <v>4</v>
      </c>
      <c r="N5" s="5"/>
    </row>
    <row r="6" customFormat="false" ht="15" hidden="false" customHeight="false" outlineLevel="0" collapsed="false">
      <c r="A6" s="8" t="n">
        <v>46124</v>
      </c>
      <c r="B6" s="4" t="s">
        <v>54</v>
      </c>
      <c r="C6" s="4" t="s">
        <v>26</v>
      </c>
      <c r="D6" s="4" t="s">
        <v>43</v>
      </c>
      <c r="E6" s="4" t="s">
        <v>44</v>
      </c>
      <c r="F6" s="4" t="s">
        <v>23</v>
      </c>
      <c r="G6" s="4" t="s">
        <v>45</v>
      </c>
      <c r="H6" s="9" t="n">
        <v>15</v>
      </c>
      <c r="I6" s="4" t="s">
        <v>55</v>
      </c>
      <c r="J6" s="4" t="s">
        <v>56</v>
      </c>
      <c r="K6" s="4" t="s">
        <v>57</v>
      </c>
      <c r="L6" s="4" t="n">
        <f aca="false">IF(AND(J6&lt;&gt;"",K6&lt;&gt;""),(TIMEVALUE(K6)-TIMEVALUE(J6))*1440,"")</f>
        <v>60</v>
      </c>
      <c r="M6" s="4" t="n">
        <v>5</v>
      </c>
      <c r="N6" s="4"/>
    </row>
    <row r="7" customFormat="false" ht="15" hidden="false" customHeight="false" outlineLevel="0" collapsed="false">
      <c r="A7" s="10" t="n">
        <v>46120</v>
      </c>
      <c r="B7" s="5" t="s">
        <v>58</v>
      </c>
      <c r="C7" s="5" t="s">
        <v>12</v>
      </c>
      <c r="D7" s="5" t="s">
        <v>59</v>
      </c>
      <c r="E7" s="5" t="s">
        <v>60</v>
      </c>
      <c r="F7" s="5" t="s">
        <v>23</v>
      </c>
      <c r="G7" s="5" t="s">
        <v>45</v>
      </c>
      <c r="H7" s="11" t="n">
        <v>15</v>
      </c>
      <c r="I7" s="5" t="s">
        <v>46</v>
      </c>
      <c r="J7" s="5" t="s">
        <v>61</v>
      </c>
      <c r="K7" s="5" t="s">
        <v>48</v>
      </c>
      <c r="L7" s="5" t="n">
        <f aca="false">IF(AND(J7&lt;&gt;"",K7&lt;&gt;""),(TIMEVALUE(K7)-TIMEVALUE(J7))*1440,"")</f>
        <v>270</v>
      </c>
      <c r="M7" s="5" t="n">
        <v>3</v>
      </c>
      <c r="N7" s="5"/>
    </row>
    <row r="8" customFormat="false" ht="15" hidden="false" customHeight="false" outlineLevel="0" collapsed="false">
      <c r="A8" s="8" t="n">
        <v>46124</v>
      </c>
      <c r="B8" s="4" t="s">
        <v>62</v>
      </c>
      <c r="C8" s="4" t="s">
        <v>26</v>
      </c>
      <c r="D8" s="4" t="s">
        <v>50</v>
      </c>
      <c r="E8" s="4" t="s">
        <v>51</v>
      </c>
      <c r="F8" s="4" t="s">
        <v>28</v>
      </c>
      <c r="G8" s="4" t="s">
        <v>45</v>
      </c>
      <c r="H8" s="9" t="n">
        <v>10</v>
      </c>
      <c r="I8" s="4" t="s">
        <v>55</v>
      </c>
      <c r="J8" s="4" t="s">
        <v>63</v>
      </c>
      <c r="K8" s="4" t="s">
        <v>52</v>
      </c>
      <c r="L8" s="4" t="n">
        <f aca="false">IF(AND(J8&lt;&gt;"",K8&lt;&gt;""),(TIMEVALUE(K8)-TIMEVALUE(J8))*1440,"")</f>
        <v>150</v>
      </c>
      <c r="M8" s="4" t="n">
        <v>4</v>
      </c>
      <c r="N8" s="4"/>
    </row>
    <row r="9" customFormat="false" ht="15" hidden="false" customHeight="false" outlineLevel="0" collapsed="false">
      <c r="A9" s="10" t="n">
        <v>46123</v>
      </c>
      <c r="B9" s="5" t="s">
        <v>64</v>
      </c>
      <c r="C9" s="5" t="s">
        <v>26</v>
      </c>
      <c r="D9" s="5" t="s">
        <v>59</v>
      </c>
      <c r="E9" s="5" t="s">
        <v>60</v>
      </c>
      <c r="F9" s="5" t="s">
        <v>23</v>
      </c>
      <c r="G9" s="5" t="s">
        <v>45</v>
      </c>
      <c r="H9" s="11" t="n">
        <v>15</v>
      </c>
      <c r="I9" s="5" t="s">
        <v>46</v>
      </c>
      <c r="J9" s="5" t="s">
        <v>65</v>
      </c>
      <c r="K9" s="5" t="s">
        <v>56</v>
      </c>
      <c r="L9" s="5" t="n">
        <f aca="false">IF(AND(J9&lt;&gt;"",K9&lt;&gt;""),(TIMEVALUE(K9)-TIMEVALUE(J9))*1440,"")</f>
        <v>135</v>
      </c>
      <c r="M9" s="5" t="n">
        <v>3</v>
      </c>
      <c r="N9" s="5"/>
    </row>
    <row r="10" customFormat="false" ht="15" hidden="false" customHeight="false" outlineLevel="0" collapsed="false">
      <c r="A10" s="8" t="n">
        <v>46118</v>
      </c>
      <c r="B10" s="4" t="s">
        <v>66</v>
      </c>
      <c r="C10" s="4" t="s">
        <v>12</v>
      </c>
      <c r="D10" s="4" t="s">
        <v>67</v>
      </c>
      <c r="E10" s="4" t="s">
        <v>68</v>
      </c>
      <c r="F10" s="4" t="s">
        <v>19</v>
      </c>
      <c r="G10" s="4" t="s">
        <v>45</v>
      </c>
      <c r="H10" s="9" t="n">
        <v>15</v>
      </c>
      <c r="I10" s="4" t="s">
        <v>55</v>
      </c>
      <c r="J10" s="4" t="s">
        <v>69</v>
      </c>
      <c r="K10" s="4" t="s">
        <v>52</v>
      </c>
      <c r="L10" s="4" t="n">
        <f aca="false">IF(AND(J10&lt;&gt;"",K10&lt;&gt;""),(TIMEVALUE(K10)-TIMEVALUE(J10))*1440,"")</f>
        <v>135</v>
      </c>
      <c r="M10" s="4" t="n">
        <v>5</v>
      </c>
      <c r="N10" s="4"/>
    </row>
    <row r="11" customFormat="false" ht="15" hidden="false" customHeight="false" outlineLevel="0" collapsed="false">
      <c r="A11" s="10" t="n">
        <v>46122</v>
      </c>
      <c r="B11" s="5" t="s">
        <v>70</v>
      </c>
      <c r="C11" s="5" t="s">
        <v>21</v>
      </c>
      <c r="D11" s="5" t="s">
        <v>71</v>
      </c>
      <c r="E11" s="5" t="s">
        <v>72</v>
      </c>
      <c r="F11" s="5" t="s">
        <v>19</v>
      </c>
      <c r="G11" s="5" t="s">
        <v>45</v>
      </c>
      <c r="H11" s="11" t="n">
        <v>10</v>
      </c>
      <c r="I11" s="5" t="s">
        <v>46</v>
      </c>
      <c r="J11" s="5" t="s">
        <v>52</v>
      </c>
      <c r="K11" s="5" t="s">
        <v>48</v>
      </c>
      <c r="L11" s="5" t="n">
        <f aca="false">IF(AND(J11&lt;&gt;"",K11&lt;&gt;""),(TIMEVALUE(K11)-TIMEVALUE(J11))*1440,"")</f>
        <v>45</v>
      </c>
      <c r="M11" s="5" t="n">
        <v>5</v>
      </c>
      <c r="N11" s="5"/>
    </row>
    <row r="12" customFormat="false" ht="15" hidden="false" customHeight="false" outlineLevel="0" collapsed="false">
      <c r="A12" s="8" t="n">
        <v>46121</v>
      </c>
      <c r="B12" s="4" t="s">
        <v>73</v>
      </c>
      <c r="C12" s="4" t="s">
        <v>12</v>
      </c>
      <c r="D12" s="4" t="s">
        <v>67</v>
      </c>
      <c r="E12" s="4" t="s">
        <v>68</v>
      </c>
      <c r="F12" s="4" t="s">
        <v>28</v>
      </c>
      <c r="G12" s="4" t="s">
        <v>45</v>
      </c>
      <c r="H12" s="9" t="n">
        <v>20</v>
      </c>
      <c r="I12" s="4" t="s">
        <v>55</v>
      </c>
      <c r="J12" s="4" t="s">
        <v>74</v>
      </c>
      <c r="K12" s="4" t="s">
        <v>48</v>
      </c>
      <c r="L12" s="4" t="n">
        <f aca="false">IF(AND(J12&lt;&gt;"",K12&lt;&gt;""),(TIMEVALUE(K12)-TIMEVALUE(J12))*1440,"")</f>
        <v>120</v>
      </c>
      <c r="M12" s="4" t="n">
        <v>3</v>
      </c>
      <c r="N12" s="4"/>
    </row>
    <row r="13" customFormat="false" ht="15" hidden="false" customHeight="false" outlineLevel="0" collapsed="false">
      <c r="A13" s="10" t="n">
        <v>46123</v>
      </c>
      <c r="B13" s="5" t="s">
        <v>75</v>
      </c>
      <c r="C13" s="5" t="s">
        <v>17</v>
      </c>
      <c r="D13" s="5" t="s">
        <v>59</v>
      </c>
      <c r="E13" s="5" t="s">
        <v>60</v>
      </c>
      <c r="F13" s="5" t="s">
        <v>14</v>
      </c>
      <c r="G13" s="5" t="s">
        <v>45</v>
      </c>
      <c r="H13" s="11" t="n">
        <v>15</v>
      </c>
      <c r="I13" s="5" t="s">
        <v>55</v>
      </c>
      <c r="J13" s="5" t="s">
        <v>76</v>
      </c>
      <c r="K13" s="5" t="s">
        <v>77</v>
      </c>
      <c r="L13" s="5" t="n">
        <f aca="false">IF(AND(J13&lt;&gt;"",K13&lt;&gt;""),(TIMEVALUE(K13)-TIMEVALUE(J13))*1440,"")</f>
        <v>240</v>
      </c>
      <c r="M13" s="5" t="n">
        <v>3</v>
      </c>
      <c r="N13" s="5"/>
    </row>
    <row r="14" customFormat="false" ht="15" hidden="false" customHeight="false" outlineLevel="0" collapsed="false">
      <c r="A14" s="8" t="n">
        <v>46119</v>
      </c>
      <c r="B14" s="4" t="s">
        <v>78</v>
      </c>
      <c r="C14" s="4" t="s">
        <v>21</v>
      </c>
      <c r="D14" s="4" t="s">
        <v>71</v>
      </c>
      <c r="E14" s="4" t="s">
        <v>72</v>
      </c>
      <c r="F14" s="4" t="s">
        <v>28</v>
      </c>
      <c r="G14" s="4" t="s">
        <v>45</v>
      </c>
      <c r="H14" s="9" t="n">
        <v>20</v>
      </c>
      <c r="I14" s="4" t="s">
        <v>46</v>
      </c>
      <c r="J14" s="4" t="s">
        <v>74</v>
      </c>
      <c r="K14" s="4" t="s">
        <v>79</v>
      </c>
      <c r="L14" s="4" t="n">
        <f aca="false">IF(AND(J14&lt;&gt;"",K14&lt;&gt;""),(TIMEVALUE(K14)-TIMEVALUE(J14))*1440,"")</f>
        <v>180</v>
      </c>
      <c r="M14" s="4" t="n">
        <v>5</v>
      </c>
      <c r="N14" s="4"/>
    </row>
    <row r="15" customFormat="false" ht="15" hidden="false" customHeight="false" outlineLevel="0" collapsed="false">
      <c r="A15" s="10" t="n">
        <v>46121</v>
      </c>
      <c r="B15" s="5" t="s">
        <v>80</v>
      </c>
      <c r="C15" s="5" t="s">
        <v>21</v>
      </c>
      <c r="D15" s="5" t="s">
        <v>43</v>
      </c>
      <c r="E15" s="5" t="s">
        <v>44</v>
      </c>
      <c r="F15" s="5" t="s">
        <v>19</v>
      </c>
      <c r="G15" s="5" t="s">
        <v>45</v>
      </c>
      <c r="H15" s="11" t="n">
        <v>15</v>
      </c>
      <c r="I15" s="5" t="s">
        <v>81</v>
      </c>
      <c r="J15" s="5" t="s">
        <v>82</v>
      </c>
      <c r="K15" s="5" t="s">
        <v>69</v>
      </c>
      <c r="L15" s="5" t="n">
        <f aca="false">IF(AND(J15&lt;&gt;"",K15&lt;&gt;""),(TIMEVALUE(K15)-TIMEVALUE(J15))*1440,"")</f>
        <v>-30</v>
      </c>
      <c r="M15" s="5" t="n">
        <v>3</v>
      </c>
      <c r="N15" s="5"/>
    </row>
    <row r="16" customFormat="false" ht="15" hidden="false" customHeight="false" outlineLevel="0" collapsed="false">
      <c r="A16" s="8" t="n">
        <v>46123</v>
      </c>
      <c r="B16" s="4" t="s">
        <v>83</v>
      </c>
      <c r="C16" s="4" t="s">
        <v>17</v>
      </c>
      <c r="D16" s="4" t="s">
        <v>59</v>
      </c>
      <c r="E16" s="4" t="s">
        <v>60</v>
      </c>
      <c r="F16" s="4" t="s">
        <v>19</v>
      </c>
      <c r="G16" s="4" t="s">
        <v>45</v>
      </c>
      <c r="H16" s="9" t="n">
        <v>20</v>
      </c>
      <c r="I16" s="4" t="s">
        <v>46</v>
      </c>
      <c r="J16" s="4" t="s">
        <v>84</v>
      </c>
      <c r="K16" s="4" t="s">
        <v>65</v>
      </c>
      <c r="L16" s="4" t="n">
        <f aca="false">IF(AND(J16&lt;&gt;"",K16&lt;&gt;""),(TIMEVALUE(K16)-TIMEVALUE(J16))*1440,"")</f>
        <v>45</v>
      </c>
      <c r="M16" s="4" t="n">
        <v>3</v>
      </c>
      <c r="N16" s="4"/>
    </row>
    <row r="17" customFormat="false" ht="15" hidden="false" customHeight="false" outlineLevel="0" collapsed="false">
      <c r="A17" s="10" t="n">
        <v>46121</v>
      </c>
      <c r="B17" s="5" t="s">
        <v>85</v>
      </c>
      <c r="C17" s="5" t="s">
        <v>17</v>
      </c>
      <c r="D17" s="5" t="s">
        <v>43</v>
      </c>
      <c r="E17" s="5" t="s">
        <v>44</v>
      </c>
      <c r="F17" s="5" t="s">
        <v>23</v>
      </c>
      <c r="G17" s="5" t="s">
        <v>45</v>
      </c>
      <c r="H17" s="11" t="n">
        <v>15</v>
      </c>
      <c r="I17" s="5" t="s">
        <v>46</v>
      </c>
      <c r="J17" s="5" t="s">
        <v>61</v>
      </c>
      <c r="K17" s="5" t="s">
        <v>53</v>
      </c>
      <c r="L17" s="5" t="n">
        <f aca="false">IF(AND(J17&lt;&gt;"",K17&lt;&gt;""),(TIMEVALUE(K17)-TIMEVALUE(J17))*1440,"")</f>
        <v>165</v>
      </c>
      <c r="M17" s="5" t="n">
        <v>5</v>
      </c>
      <c r="N17" s="5"/>
    </row>
    <row r="18" customFormat="false" ht="15" hidden="false" customHeight="false" outlineLevel="0" collapsed="false">
      <c r="A18" s="8" t="n">
        <v>46120</v>
      </c>
      <c r="B18" s="4" t="s">
        <v>86</v>
      </c>
      <c r="C18" s="4" t="s">
        <v>12</v>
      </c>
      <c r="D18" s="4" t="s">
        <v>59</v>
      </c>
      <c r="E18" s="4" t="s">
        <v>60</v>
      </c>
      <c r="F18" s="4" t="s">
        <v>23</v>
      </c>
      <c r="G18" s="4" t="s">
        <v>45</v>
      </c>
      <c r="H18" s="9" t="n">
        <v>10</v>
      </c>
      <c r="I18" s="4" t="s">
        <v>46</v>
      </c>
      <c r="J18" s="4" t="s">
        <v>74</v>
      </c>
      <c r="K18" s="4" t="s">
        <v>77</v>
      </c>
      <c r="L18" s="4" t="n">
        <f aca="false">IF(AND(J18&lt;&gt;"",K18&lt;&gt;""),(TIMEVALUE(K18)-TIMEVALUE(J18))*1440,"")</f>
        <v>135</v>
      </c>
      <c r="M18" s="4" t="n">
        <v>3</v>
      </c>
      <c r="N18" s="4"/>
    </row>
  </sheetData>
  <mergeCells count="2">
    <mergeCell ref="A1:N1"/>
    <mergeCell ref="A2:N2"/>
  </mergeCells>
  <conditionalFormatting sqref="I4:I500">
    <cfRule type="expression" priority="2" aboveAverage="0" equalAverage="0" bottom="0" percent="0" rank="0" text="" dxfId="0">
      <formula>I4="مكتمل"</formula>
    </cfRule>
    <cfRule type="expression" priority="3" aboveAverage="0" equalAverage="0" bottom="0" percent="0" rank="0" text="" dxfId="1">
      <formula>I4="ملغي"</formula>
    </cfRule>
    <cfRule type="expression" priority="4" aboveAverage="0" equalAverage="0" bottom="0" percent="0" rank="0" text="" dxfId="2">
      <formula>I4="قيد التوصيل"</formula>
    </cfRule>
  </conditionalFormatting>
  <dataValidations count="1">
    <dataValidation allowBlank="true" errorStyle="stop" operator="between" showDropDown="false" showErrorMessage="false" showInputMessage="false" sqref="I4:I1018" type="list">
      <formula1>"جديد,قيد التوصيل,مكتمل,ملغي,مرتجع"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373"/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45" hidden="false" customHeight="true" outlineLevel="0" collapsed="false">
      <c r="A1" s="12" t="s">
        <v>87</v>
      </c>
      <c r="B1" s="12"/>
      <c r="C1" s="12"/>
      <c r="D1" s="12"/>
      <c r="E1" s="12"/>
      <c r="F1" s="12"/>
      <c r="G1" s="12"/>
      <c r="H1" s="12"/>
      <c r="I1" s="12"/>
    </row>
    <row r="2" customFormat="false" ht="34.5" hidden="false" customHeight="true" outlineLevel="0" collapsed="false">
      <c r="A2" s="13" t="s">
        <v>2</v>
      </c>
      <c r="B2" s="13" t="s">
        <v>34</v>
      </c>
      <c r="C2" s="13" t="s">
        <v>4</v>
      </c>
      <c r="D2" s="13" t="s">
        <v>88</v>
      </c>
      <c r="E2" s="13" t="s">
        <v>89</v>
      </c>
      <c r="F2" s="13" t="s">
        <v>90</v>
      </c>
      <c r="G2" s="13" t="s">
        <v>91</v>
      </c>
      <c r="H2" s="13" t="s">
        <v>6</v>
      </c>
      <c r="I2" s="13" t="s">
        <v>11</v>
      </c>
    </row>
    <row r="3" customFormat="false" ht="15" hidden="false" customHeight="false" outlineLevel="0" collapsed="false">
      <c r="A3" s="5" t="n">
        <v>1</v>
      </c>
      <c r="B3" s="5" t="s">
        <v>71</v>
      </c>
      <c r="C3" s="5" t="s">
        <v>72</v>
      </c>
      <c r="D3" s="5" t="s">
        <v>28</v>
      </c>
      <c r="E3" s="5" t="n">
        <f aca="false">COUNTIF(الطلبات!D:D,B3)</f>
        <v>2</v>
      </c>
      <c r="F3" s="10" t="str">
        <f aca="false">IFERROR(maxifs(الطلبات!A:A,الطلبات!D:D,B3),"")</f>
        <v/>
      </c>
      <c r="G3" s="11" t="n">
        <f aca="false">SUMIF(الطلبات!D:D,B3,الطلبات!H:H)</f>
        <v>30</v>
      </c>
      <c r="H3" s="5" t="s">
        <v>92</v>
      </c>
      <c r="I3" s="5"/>
    </row>
    <row r="4" customFormat="false" ht="15" hidden="false" customHeight="false" outlineLevel="0" collapsed="false">
      <c r="A4" s="4" t="n">
        <v>2</v>
      </c>
      <c r="B4" s="4" t="s">
        <v>43</v>
      </c>
      <c r="C4" s="4" t="s">
        <v>44</v>
      </c>
      <c r="D4" s="4" t="s">
        <v>23</v>
      </c>
      <c r="E4" s="4" t="n">
        <f aca="false">COUNTIF(الطلبات!D:D,B4)</f>
        <v>4</v>
      </c>
      <c r="F4" s="8" t="str">
        <f aca="false">IFERROR(maxifs(الطلبات!A:A,الطلبات!D:D,B4),"")</f>
        <v/>
      </c>
      <c r="G4" s="9" t="n">
        <f aca="false">SUMIF(الطلبات!D:D,B4,الطلبات!H:H)</f>
        <v>55</v>
      </c>
      <c r="H4" s="4" t="s">
        <v>92</v>
      </c>
      <c r="I4" s="4"/>
    </row>
    <row r="5" customFormat="false" ht="15" hidden="false" customHeight="false" outlineLevel="0" collapsed="false">
      <c r="A5" s="5" t="n">
        <v>3</v>
      </c>
      <c r="B5" s="5" t="s">
        <v>59</v>
      </c>
      <c r="C5" s="5" t="s">
        <v>60</v>
      </c>
      <c r="D5" s="5" t="s">
        <v>14</v>
      </c>
      <c r="E5" s="5" t="n">
        <f aca="false">COUNTIF(الطلبات!D:D,B5)</f>
        <v>5</v>
      </c>
      <c r="F5" s="10" t="str">
        <f aca="false">IFERROR(maxifs(الطلبات!A:A,الطلبات!D:D,B5),"")</f>
        <v/>
      </c>
      <c r="G5" s="11" t="n">
        <f aca="false">SUMIF(الطلبات!D:D,B5,الطلبات!H:H)</f>
        <v>75</v>
      </c>
      <c r="H5" s="5" t="s">
        <v>92</v>
      </c>
      <c r="I5" s="5"/>
    </row>
    <row r="6" customFormat="false" ht="15" hidden="false" customHeight="false" outlineLevel="0" collapsed="false">
      <c r="A6" s="4" t="n">
        <v>4</v>
      </c>
      <c r="B6" s="4" t="s">
        <v>50</v>
      </c>
      <c r="C6" s="4" t="s">
        <v>51</v>
      </c>
      <c r="D6" s="4" t="s">
        <v>14</v>
      </c>
      <c r="E6" s="4" t="n">
        <f aca="false">COUNTIF(الطلبات!D:D,B6)</f>
        <v>2</v>
      </c>
      <c r="F6" s="8" t="str">
        <f aca="false">IFERROR(maxifs(الطلبات!A:A,الطلبات!D:D,B6),"")</f>
        <v/>
      </c>
      <c r="G6" s="9" t="n">
        <f aca="false">SUMIF(الطلبات!D:D,B6,الطلبات!H:H)</f>
        <v>20</v>
      </c>
      <c r="H6" s="4" t="s">
        <v>92</v>
      </c>
      <c r="I6" s="4"/>
    </row>
    <row r="7" customFormat="false" ht="15" hidden="false" customHeight="false" outlineLevel="0" collapsed="false">
      <c r="A7" s="5" t="n">
        <v>5</v>
      </c>
      <c r="B7" s="5" t="s">
        <v>67</v>
      </c>
      <c r="C7" s="5" t="s">
        <v>68</v>
      </c>
      <c r="D7" s="5" t="s">
        <v>28</v>
      </c>
      <c r="E7" s="5" t="n">
        <f aca="false">COUNTIF(الطلبات!D:D,B7)</f>
        <v>2</v>
      </c>
      <c r="F7" s="10" t="str">
        <f aca="false">IFERROR(maxifs(الطلبات!A:A,الطلبات!D:D,B7),"")</f>
        <v/>
      </c>
      <c r="G7" s="11" t="n">
        <f aca="false">SUMIF(الطلبات!D:D,B7,الطلبات!H:H)</f>
        <v>35</v>
      </c>
      <c r="H7" s="5" t="s">
        <v>92</v>
      </c>
      <c r="I7" s="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4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B3" s="14" t="s">
        <v>94</v>
      </c>
      <c r="D3" s="15" t="s">
        <v>95</v>
      </c>
      <c r="F3" s="16" t="s">
        <v>96</v>
      </c>
      <c r="H3" s="17" t="s">
        <v>97</v>
      </c>
    </row>
    <row r="4" customFormat="false" ht="15" hidden="false" customHeight="false" outlineLevel="0" collapsed="false">
      <c r="B4" s="14"/>
      <c r="D4" s="15"/>
      <c r="F4" s="16"/>
      <c r="H4" s="17"/>
    </row>
    <row r="5" customFormat="false" ht="15" hidden="false" customHeight="false" outlineLevel="0" collapsed="false">
      <c r="B5" s="18" t="n">
        <f aca="true">COUNTIF(الطلبات!A:A,TODAY())</f>
        <v>3</v>
      </c>
      <c r="D5" s="19" t="n">
        <f aca="true">COUNTIFS(الطلبات!A:A,TODAY(),الطلبات!I:I,"مكتمل")</f>
        <v>1</v>
      </c>
      <c r="F5" s="20" t="n">
        <f aca="true">COUNTIFS(الطلبات!A:A,TODAY(),الطلبات!I:I,"ملغي")</f>
        <v>2</v>
      </c>
      <c r="H5" s="21" t="n">
        <f aca="true">SUMIFS(الطلبات!H:H,الطلبات!A:A,TODAY(),الطلبات!I:I,"مكتمل")</f>
        <v>10</v>
      </c>
    </row>
    <row r="6" customFormat="false" ht="15" hidden="false" customHeight="false" outlineLevel="0" collapsed="false">
      <c r="B6" s="18"/>
      <c r="D6" s="19"/>
      <c r="F6" s="20"/>
      <c r="H6" s="21"/>
    </row>
    <row r="8" customFormat="false" ht="16.15" hidden="false" customHeight="false" outlineLevel="0" collapsed="false">
      <c r="A8" s="22" t="s">
        <v>98</v>
      </c>
      <c r="B8" s="22"/>
      <c r="C8" s="22"/>
      <c r="D8" s="22"/>
      <c r="E8" s="22"/>
      <c r="F8" s="22"/>
      <c r="G8" s="22"/>
      <c r="H8" s="22"/>
    </row>
    <row r="9" customFormat="false" ht="15" hidden="false" customHeight="false" outlineLevel="0" collapsed="false">
      <c r="A9" s="3" t="s">
        <v>99</v>
      </c>
      <c r="B9" s="3" t="s">
        <v>7</v>
      </c>
      <c r="C9" s="3" t="s">
        <v>100</v>
      </c>
      <c r="D9" s="3" t="s">
        <v>101</v>
      </c>
      <c r="E9" s="3" t="s">
        <v>102</v>
      </c>
      <c r="F9" s="3" t="s">
        <v>103</v>
      </c>
      <c r="G9" s="3" t="s">
        <v>104</v>
      </c>
      <c r="H9" s="3" t="s">
        <v>6</v>
      </c>
    </row>
    <row r="10" customFormat="false" ht="15" hidden="false" customHeight="false" outlineLevel="0" collapsed="false">
      <c r="A10" s="4" t="s">
        <v>12</v>
      </c>
      <c r="B10" s="4" t="n">
        <f aca="true">COUNTIFS(الطلبات!C:C,A10,الطلبات!A:A,TODAY())</f>
        <v>0</v>
      </c>
      <c r="C10" s="4" t="n">
        <f aca="true">COUNTIFS(الطلبات!C:C,A10,الطلبات!A:A,TODAY(),الطلبات!I:I,"مكتمل")</f>
        <v>0</v>
      </c>
      <c r="D10" s="4" t="n">
        <f aca="true">COUNTIFS(الطلبات!C:C,A10,الطلبات!A:A,TODAY(),الطلبات!I:I,"ملغي")</f>
        <v>0</v>
      </c>
      <c r="E10" s="4" t="n">
        <f aca="true">IFERROR(AVERAGEIFS(الطلبات!L:L,الطلبات!C:C,A10,الطلبات!A:A,TODAY()),0)</f>
        <v>0</v>
      </c>
      <c r="F10" s="9" t="n">
        <f aca="true">SUMIFS(الطلبات!H:H,الطلبات!C:C,A10,الطلبات!A:A,TODAY(),الطلبات!I:I,"مكتمل")</f>
        <v>0</v>
      </c>
      <c r="G10" s="23" t="n">
        <f aca="false">IFERROR(C10/B10,0)</f>
        <v>0</v>
      </c>
      <c r="H10" s="4" t="str">
        <f aca="false">VLOOKUP(A10,الموصّلون!B:E,4,0)</f>
        <v>متاح</v>
      </c>
    </row>
    <row r="11" customFormat="false" ht="15" hidden="false" customHeight="false" outlineLevel="0" collapsed="false">
      <c r="A11" s="5" t="s">
        <v>17</v>
      </c>
      <c r="B11" s="5" t="n">
        <f aca="true">COUNTIFS(الطلبات!C:C,A11,الطلبات!A:A,TODAY())</f>
        <v>0</v>
      </c>
      <c r="C11" s="5" t="n">
        <f aca="true">COUNTIFS(الطلبات!C:C,A11,الطلبات!A:A,TODAY(),الطلبات!I:I,"مكتمل")</f>
        <v>0</v>
      </c>
      <c r="D11" s="5" t="n">
        <f aca="true">COUNTIFS(الطلبات!C:C,A11,الطلبات!A:A,TODAY(),الطلبات!I:I,"ملغي")</f>
        <v>0</v>
      </c>
      <c r="E11" s="5" t="n">
        <f aca="true">IFERROR(AVERAGEIFS(الطلبات!L:L,الطلبات!C:C,A11,الطلبات!A:A,TODAY()),0)</f>
        <v>0</v>
      </c>
      <c r="F11" s="11" t="n">
        <f aca="true">SUMIFS(الطلبات!H:H,الطلبات!C:C,A11,الطلبات!A:A,TODAY(),الطلبات!I:I,"مكتمل")</f>
        <v>0</v>
      </c>
      <c r="G11" s="24" t="n">
        <f aca="false">IFERROR(C11/B11,0)</f>
        <v>0</v>
      </c>
      <c r="H11" s="5" t="str">
        <f aca="false">VLOOKUP(A11,الموصّلون!B:E,4,0)</f>
        <v>متاح</v>
      </c>
    </row>
    <row r="12" customFormat="false" ht="15" hidden="false" customHeight="false" outlineLevel="0" collapsed="false">
      <c r="A12" s="4" t="s">
        <v>21</v>
      </c>
      <c r="B12" s="4" t="n">
        <f aca="true">COUNTIFS(الطلبات!C:C,A12,الطلبات!A:A,TODAY())</f>
        <v>1</v>
      </c>
      <c r="C12" s="4" t="n">
        <f aca="true">COUNTIFS(الطلبات!C:C,A12,الطلبات!A:A,TODAY(),الطلبات!I:I,"مكتمل")</f>
        <v>1</v>
      </c>
      <c r="D12" s="4" t="n">
        <f aca="true">COUNTIFS(الطلبات!C:C,A12,الطلبات!A:A,TODAY(),الطلبات!I:I,"ملغي")</f>
        <v>0</v>
      </c>
      <c r="E12" s="4" t="n">
        <f aca="true">IFERROR(AVERAGEIFS(الطلبات!L:L,الطلبات!C:C,A12,الطلبات!A:A,TODAY()),0)</f>
        <v>60</v>
      </c>
      <c r="F12" s="9" t="n">
        <f aca="true">SUMIFS(الطلبات!H:H,الطلبات!C:C,A12,الطلبات!A:A,TODAY(),الطلبات!I:I,"مكتمل")</f>
        <v>10</v>
      </c>
      <c r="G12" s="23" t="n">
        <f aca="false">IFERROR(C12/B12,0)</f>
        <v>1</v>
      </c>
      <c r="H12" s="4" t="str">
        <f aca="false">VLOOKUP(A12,الموصّلون!B:E,4,0)</f>
        <v>مشغول</v>
      </c>
    </row>
    <row r="13" customFormat="false" ht="15" hidden="false" customHeight="false" outlineLevel="0" collapsed="false">
      <c r="A13" s="5" t="s">
        <v>26</v>
      </c>
      <c r="B13" s="5" t="n">
        <f aca="true">COUNTIFS(الطلبات!C:C,A13,الطلبات!A:A,TODAY())</f>
        <v>2</v>
      </c>
      <c r="C13" s="5" t="n">
        <f aca="true">COUNTIFS(الطلبات!C:C,A13,الطلبات!A:A,TODAY(),الطلبات!I:I,"مكتمل")</f>
        <v>0</v>
      </c>
      <c r="D13" s="5" t="n">
        <f aca="true">COUNTIFS(الطلبات!C:C,A13,الطلبات!A:A,TODAY(),الطلبات!I:I,"ملغي")</f>
        <v>2</v>
      </c>
      <c r="E13" s="5" t="n">
        <f aca="true">IFERROR(AVERAGEIFS(الطلبات!L:L,الطلبات!C:C,A13,الطلبات!A:A,TODAY()),0)</f>
        <v>105</v>
      </c>
      <c r="F13" s="11" t="n">
        <f aca="true">SUMIFS(الطلبات!H:H,الطلبات!C:C,A13,الطلبات!A:A,TODAY(),الطلبات!I:I,"مكتمل")</f>
        <v>0</v>
      </c>
      <c r="G13" s="24" t="n">
        <f aca="false">IFERROR(C13/B13,0)</f>
        <v>0</v>
      </c>
      <c r="H13" s="5" t="str">
        <f aca="false">VLOOKUP(A13,الموصّلون!B:E,4,0)</f>
        <v>متاح</v>
      </c>
    </row>
  </sheetData>
  <mergeCells count="10">
    <mergeCell ref="A1:H1"/>
    <mergeCell ref="B3:B4"/>
    <mergeCell ref="D3:D4"/>
    <mergeCell ref="F3:F4"/>
    <mergeCell ref="H3:H4"/>
    <mergeCell ref="B5:B6"/>
    <mergeCell ref="D5:D6"/>
    <mergeCell ref="F5:F6"/>
    <mergeCell ref="H5:H6"/>
    <mergeCell ref="A8:H8"/>
  </mergeCells>
  <conditionalFormatting sqref="G10:G13">
    <cfRule type="dataBar" priority="2">
      <dataBar showValue="1" minLength="10" maxLength="90">
        <cfvo type="num" val="0"/>
        <cfvo type="num" val="1"/>
        <color rgb="FF2D4373"/>
      </dataBar>
      <extLst>
        <ext xmlns:x14="http://schemas.microsoft.com/office/spreadsheetml/2009/9/main" uri="{B025F937-C7B1-47D3-B67F-A62EFF666E3E}">
          <x14:id>{D4759778-4141-40D7-83D4-DA65FFCFC7A8}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59778-4141-40D7-83D4-DA65FFCFC7A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D4373"/>
              <x14:axisColor rgb="FF000000"/>
            </x14:dataBar>
          </x14:cfRule>
          <xm:sqref>G10:G13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4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</row>
    <row r="2" customFormat="false" ht="16.15" hidden="false" customHeight="false" outlineLevel="0" collapsed="false">
      <c r="A2" s="25" t="s">
        <v>106</v>
      </c>
      <c r="B2" s="25"/>
      <c r="C2" s="25"/>
      <c r="D2" s="26" t="str">
        <f aca="true">TEXT(TODAY(),"MMMM YYYY")</f>
        <v>April 2026</v>
      </c>
      <c r="E2" s="26"/>
      <c r="F2" s="26"/>
    </row>
    <row r="4" customFormat="false" ht="15" hidden="false" customHeight="false" outlineLevel="0" collapsed="false">
      <c r="A4" s="27" t="s">
        <v>107</v>
      </c>
      <c r="B4" s="27"/>
      <c r="C4" s="27"/>
      <c r="D4" s="27"/>
      <c r="E4" s="27"/>
      <c r="F4" s="27"/>
      <c r="G4" s="27"/>
      <c r="H4" s="27"/>
      <c r="I4" s="27"/>
    </row>
    <row r="5" customFormat="false" ht="17.35" hidden="false" customHeight="false" outlineLevel="0" collapsed="false">
      <c r="A5" s="28" t="s">
        <v>89</v>
      </c>
      <c r="B5" s="29" t="n">
        <f aca="true">COUNTIFS(الطلبات!A:A,"&gt;="&amp;DATE(YEAR(TODAY()),MONTH(TODAY()),1))</f>
        <v>15</v>
      </c>
      <c r="C5" s="29"/>
      <c r="D5" s="29"/>
    </row>
    <row r="6" customFormat="false" ht="17.35" hidden="false" customHeight="false" outlineLevel="0" collapsed="false">
      <c r="A6" s="28" t="s">
        <v>108</v>
      </c>
      <c r="B6" s="30" t="n">
        <f aca="true">COUNTIFS(الطلبات!A:A,"&gt;="&amp;DATE(YEAR(TODAY()),MONTH(TODAY()),1),الطلبات!I:I,"مكتمل")</f>
        <v>9</v>
      </c>
      <c r="C6" s="30"/>
      <c r="D6" s="30"/>
    </row>
    <row r="7" customFormat="false" ht="17.35" hidden="false" customHeight="false" outlineLevel="0" collapsed="false">
      <c r="A7" s="28" t="s">
        <v>109</v>
      </c>
      <c r="B7" s="29" t="n">
        <f aca="true">COUNTIFS(الطلبات!A:A,"&gt;="&amp;DATE(YEAR(TODAY()),MONTH(TODAY()),1),الطلبات!I:I,"ملغي")</f>
        <v>5</v>
      </c>
      <c r="C7" s="29"/>
      <c r="D7" s="29"/>
    </row>
    <row r="8" customFormat="false" ht="17.15" hidden="false" customHeight="false" outlineLevel="0" collapsed="false">
      <c r="A8" s="28" t="s">
        <v>110</v>
      </c>
      <c r="B8" s="31" t="n">
        <f aca="true">SUMIFS(الطلبات!H:H,الطلبات!A:A,"&gt;="&amp;DATE(YEAR(TODAY()),MONTH(TODAY()),1),الطلبات!I:I,"مكتمل")</f>
        <v>125</v>
      </c>
      <c r="C8" s="31"/>
      <c r="D8" s="31"/>
    </row>
    <row r="9" customFormat="false" ht="17.35" hidden="false" customHeight="false" outlineLevel="0" collapsed="false">
      <c r="A9" s="28" t="s">
        <v>111</v>
      </c>
      <c r="B9" s="29" t="n">
        <f aca="true">IFERROR(COUNTIFS(الطلبات!A:A,"&gt;="&amp;DATE(YEAR(TODAY()),MONTH(TODAY()),1))/DAY(TODAY()),0)</f>
        <v>1.25</v>
      </c>
      <c r="C9" s="29"/>
      <c r="D9" s="29"/>
    </row>
    <row r="10" customFormat="false" ht="17.35" hidden="false" customHeight="false" outlineLevel="0" collapsed="false">
      <c r="A10" s="28" t="s">
        <v>104</v>
      </c>
      <c r="B10" s="32" t="n">
        <f aca="false">IFERROR(B5/B4,0)</f>
        <v>0</v>
      </c>
      <c r="C10" s="32"/>
      <c r="D10" s="32"/>
    </row>
    <row r="12" customFormat="false" ht="15" hidden="false" customHeight="false" outlineLevel="0" collapsed="false">
      <c r="A12" s="33" t="s">
        <v>112</v>
      </c>
      <c r="B12" s="33"/>
      <c r="C12" s="33"/>
      <c r="D12" s="33"/>
      <c r="E12" s="33"/>
      <c r="F12" s="33"/>
      <c r="G12" s="33"/>
      <c r="H12" s="33"/>
      <c r="I12" s="33"/>
    </row>
    <row r="13" customFormat="false" ht="15" hidden="false" customHeight="false" outlineLevel="0" collapsed="false">
      <c r="A13" s="7" t="s">
        <v>99</v>
      </c>
      <c r="B13" s="7" t="s">
        <v>89</v>
      </c>
      <c r="C13" s="7" t="s">
        <v>46</v>
      </c>
      <c r="D13" s="7" t="s">
        <v>55</v>
      </c>
      <c r="E13" s="7" t="s">
        <v>103</v>
      </c>
      <c r="F13" s="7" t="s">
        <v>104</v>
      </c>
      <c r="G13" s="7" t="s">
        <v>113</v>
      </c>
      <c r="H13" s="7" t="s">
        <v>9</v>
      </c>
      <c r="I13" s="7" t="s">
        <v>114</v>
      </c>
    </row>
    <row r="14" customFormat="false" ht="15" hidden="false" customHeight="false" outlineLevel="0" collapsed="false">
      <c r="A14" s="4" t="s">
        <v>12</v>
      </c>
      <c r="B14" s="34" t="n">
        <f aca="true">COUNTIFS(الطلبات!C:C,A14,الطلبات!A:A,"&gt;="&amp;DATE(YEAR(TODAY()),MONTH(TODAY()),1))</f>
        <v>4</v>
      </c>
      <c r="C14" s="4" t="n">
        <f aca="true">COUNTIFS(الطلبات!C:C,A14,الطلبات!A:A,"&gt;="&amp;DATE(YEAR(TODAY()),MONTH(TODAY()),1),الطلبات!I:I,"مكتمل")</f>
        <v>2</v>
      </c>
      <c r="D14" s="4" t="n">
        <f aca="true">COUNTIFS(الطلبات!C:C,A14,الطلبات!A:A,"&gt;="&amp;DATE(YEAR(TODAY()),MONTH(TODAY()),1),الطلبات!I:I,"ملغي")</f>
        <v>2</v>
      </c>
      <c r="E14" s="9" t="n">
        <f aca="true">SUMIFS(الطلبات!H:H,الطلبات!C:C,A14,الطلبات!A:A,"&gt;="&amp;DATE(YEAR(TODAY()),MONTH(TODAY()),1),الطلبات!I:I,"مكتمل")</f>
        <v>25</v>
      </c>
      <c r="F14" s="35" t="n">
        <f aca="false">IFERROR(C14/B14,0)</f>
        <v>0.5</v>
      </c>
      <c r="G14" s="36" t="n">
        <f aca="true">IFERROR(AVERAGEIFS(الطلبات!L:L,الطلبات!C:C,A14,الطلبات!A:A,"&gt;="&amp;DATE(YEAR(TODAY()),MONTH(TODAY()),1)),0)</f>
        <v>165</v>
      </c>
      <c r="H14" s="37" t="n">
        <f aca="false">IFERROR(AVERAGEIFS(الطلبات!M:M,الطلبات!C:C,A14),0)</f>
        <v>3.5</v>
      </c>
      <c r="I14" s="4" t="n">
        <f aca="false">RANK(B14,B14:B17,0)</f>
        <v>1</v>
      </c>
    </row>
    <row r="15" customFormat="false" ht="15" hidden="false" customHeight="false" outlineLevel="0" collapsed="false">
      <c r="A15" s="5" t="s">
        <v>17</v>
      </c>
      <c r="B15" s="38" t="n">
        <f aca="true">COUNTIFS(الطلبات!C:C,A15,الطلبات!A:A,"&gt;="&amp;DATE(YEAR(TODAY()),MONTH(TODAY()),1))</f>
        <v>4</v>
      </c>
      <c r="C15" s="5" t="n">
        <f aca="true">COUNTIFS(الطلبات!C:C,A15,الطلبات!A:A,"&gt;="&amp;DATE(YEAR(TODAY()),MONTH(TODAY()),1),الطلبات!I:I,"مكتمل")</f>
        <v>3</v>
      </c>
      <c r="D15" s="5" t="n">
        <f aca="true">COUNTIFS(الطلبات!C:C,A15,الطلبات!A:A,"&gt;="&amp;DATE(YEAR(TODAY()),MONTH(TODAY()),1),الطلبات!I:I,"ملغي")</f>
        <v>1</v>
      </c>
      <c r="E15" s="11" t="n">
        <f aca="true">SUMIFS(الطلبات!H:H,الطلبات!C:C,A15,الطلبات!A:A,"&gt;="&amp;DATE(YEAR(TODAY()),MONTH(TODAY()),1),الطلبات!I:I,"مكتمل")</f>
        <v>45</v>
      </c>
      <c r="F15" s="39" t="n">
        <f aca="false">IFERROR(C15/B15,0)</f>
        <v>0.75</v>
      </c>
      <c r="G15" s="40" t="n">
        <f aca="true">IFERROR(AVERAGEIFS(الطلبات!L:L,الطلبات!C:C,A15,الطلبات!A:A,"&gt;="&amp;DATE(YEAR(TODAY()),MONTH(TODAY()),1)),0)</f>
        <v>97.5</v>
      </c>
      <c r="H15" s="41" t="n">
        <f aca="false">IFERROR(AVERAGEIFS(الطلبات!M:M,الطلبات!C:C,A15),0)</f>
        <v>3.75</v>
      </c>
      <c r="I15" s="5" t="n">
        <f aca="false">RANK(B15,B14:B17,0)</f>
        <v>1</v>
      </c>
    </row>
    <row r="16" customFormat="false" ht="15" hidden="false" customHeight="false" outlineLevel="0" collapsed="false">
      <c r="A16" s="4" t="s">
        <v>21</v>
      </c>
      <c r="B16" s="34" t="n">
        <f aca="true">COUNTIFS(الطلبات!C:C,A16,الطلبات!A:A,"&gt;="&amp;DATE(YEAR(TODAY()),MONTH(TODAY()),1))</f>
        <v>4</v>
      </c>
      <c r="C16" s="4" t="n">
        <f aca="true">COUNTIFS(الطلبات!C:C,A16,الطلبات!A:A,"&gt;="&amp;DATE(YEAR(TODAY()),MONTH(TODAY()),1),الطلبات!I:I,"مكتمل")</f>
        <v>3</v>
      </c>
      <c r="D16" s="4" t="n">
        <f aca="true">COUNTIFS(الطلبات!C:C,A16,الطلبات!A:A,"&gt;="&amp;DATE(YEAR(TODAY()),MONTH(TODAY()),1),الطلبات!I:I,"ملغي")</f>
        <v>0</v>
      </c>
      <c r="E16" s="9" t="n">
        <f aca="true">SUMIFS(الطلبات!H:H,الطلبات!C:C,A16,الطلبات!A:A,"&gt;="&amp;DATE(YEAR(TODAY()),MONTH(TODAY()),1),الطلبات!I:I,"مكتمل")</f>
        <v>40</v>
      </c>
      <c r="F16" s="35" t="n">
        <f aca="false">IFERROR(C16/B16,0)</f>
        <v>0.75</v>
      </c>
      <c r="G16" s="36" t="n">
        <f aca="true">IFERROR(AVERAGEIFS(الطلبات!L:L,الطلبات!C:C,A16,الطلبات!A:A,"&gt;="&amp;DATE(YEAR(TODAY()),MONTH(TODAY()),1)),0)</f>
        <v>63.75</v>
      </c>
      <c r="H16" s="37" t="n">
        <f aca="false">IFERROR(AVERAGEIFS(الطلبات!M:M,الطلبات!C:C,A16),0)</f>
        <v>4.25</v>
      </c>
      <c r="I16" s="4" t="n">
        <f aca="false">RANK(B16,B14:B17,0)</f>
        <v>1</v>
      </c>
    </row>
    <row r="17" customFormat="false" ht="15" hidden="false" customHeight="false" outlineLevel="0" collapsed="false">
      <c r="A17" s="5" t="s">
        <v>26</v>
      </c>
      <c r="B17" s="38" t="n">
        <f aca="true">COUNTIFS(الطلبات!C:C,A17,الطلبات!A:A,"&gt;="&amp;DATE(YEAR(TODAY()),MONTH(TODAY()),1))</f>
        <v>3</v>
      </c>
      <c r="C17" s="5" t="n">
        <f aca="true">COUNTIFS(الطلبات!C:C,A17,الطلبات!A:A,"&gt;="&amp;DATE(YEAR(TODAY()),MONTH(TODAY()),1),الطلبات!I:I,"مكتمل")</f>
        <v>1</v>
      </c>
      <c r="D17" s="5" t="n">
        <f aca="true">COUNTIFS(الطلبات!C:C,A17,الطلبات!A:A,"&gt;="&amp;DATE(YEAR(TODAY()),MONTH(TODAY()),1),الطلبات!I:I,"ملغي")</f>
        <v>2</v>
      </c>
      <c r="E17" s="11" t="n">
        <f aca="true">SUMIFS(الطلبات!H:H,الطلبات!C:C,A17,الطلبات!A:A,"&gt;="&amp;DATE(YEAR(TODAY()),MONTH(TODAY()),1),الطلبات!I:I,"مكتمل")</f>
        <v>15</v>
      </c>
      <c r="F17" s="39" t="n">
        <f aca="false">IFERROR(C17/B17,0)</f>
        <v>0.333333333333333</v>
      </c>
      <c r="G17" s="40" t="n">
        <f aca="true">IFERROR(AVERAGEIFS(الطلبات!L:L,الطلبات!C:C,A17,الطلبات!A:A,"&gt;="&amp;DATE(YEAR(TODAY()),MONTH(TODAY()),1)),0)</f>
        <v>115</v>
      </c>
      <c r="H17" s="41" t="n">
        <f aca="false">IFERROR(AVERAGEIFS(الطلبات!M:M,الطلبات!C:C,A17),0)</f>
        <v>4</v>
      </c>
      <c r="I17" s="5" t="n">
        <f aca="false">RANK(B17,B14:B17,0)</f>
        <v>4</v>
      </c>
    </row>
  </sheetData>
  <mergeCells count="11">
    <mergeCell ref="A1:I1"/>
    <mergeCell ref="A2:C2"/>
    <mergeCell ref="D2:F2"/>
    <mergeCell ref="A4:I4"/>
    <mergeCell ref="B5:D5"/>
    <mergeCell ref="B6:D6"/>
    <mergeCell ref="B7:D7"/>
    <mergeCell ref="B8:D8"/>
    <mergeCell ref="B9:D9"/>
    <mergeCell ref="B10:D10"/>
    <mergeCell ref="A12:I12"/>
  </mergeCells>
  <conditionalFormatting sqref="B14:B17">
    <cfRule type="colorScale" priority="2">
      <colorScale>
        <cfvo type="min" val="0"/>
        <cfvo type="percentile" val="50"/>
        <cfvo type="max" val="0"/>
        <color rgb="FFFADBD8"/>
        <color rgb="FFFEF9E7"/>
        <color rgb="FFD5F5E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39.75" hidden="false" customHeight="true" outlineLevel="0" collapsed="false">
      <c r="A1" s="42" t="s">
        <v>115</v>
      </c>
      <c r="B1" s="42"/>
      <c r="C1" s="42"/>
      <c r="D1" s="42"/>
    </row>
    <row r="2" customFormat="false" ht="15" hidden="false" customHeight="false" outlineLevel="0" collapsed="false">
      <c r="A2" s="3" t="s">
        <v>116</v>
      </c>
    </row>
    <row r="3" customFormat="false" ht="15" hidden="false" customHeight="false" outlineLevel="0" collapsed="false">
      <c r="A3" s="28" t="s">
        <v>5</v>
      </c>
      <c r="B3" s="28" t="s">
        <v>117</v>
      </c>
      <c r="C3" s="28" t="s">
        <v>118</v>
      </c>
      <c r="D3" s="28" t="s">
        <v>11</v>
      </c>
    </row>
    <row r="4" customFormat="false" ht="15" hidden="false" customHeight="false" outlineLevel="0" collapsed="false">
      <c r="A4" s="4" t="s">
        <v>14</v>
      </c>
      <c r="B4" s="4" t="n">
        <v>15</v>
      </c>
      <c r="C4" s="4" t="n">
        <v>0</v>
      </c>
      <c r="D4" s="4"/>
    </row>
    <row r="5" customFormat="false" ht="15" hidden="false" customHeight="false" outlineLevel="0" collapsed="false">
      <c r="A5" s="5" t="s">
        <v>19</v>
      </c>
      <c r="B5" s="5" t="n">
        <v>10</v>
      </c>
      <c r="C5" s="5" t="n">
        <v>0</v>
      </c>
      <c r="D5" s="5"/>
    </row>
    <row r="6" customFormat="false" ht="15" hidden="false" customHeight="false" outlineLevel="0" collapsed="false">
      <c r="A6" s="4" t="s">
        <v>23</v>
      </c>
      <c r="B6" s="4" t="n">
        <v>15</v>
      </c>
      <c r="C6" s="4" t="n">
        <v>0</v>
      </c>
      <c r="D6" s="4"/>
    </row>
    <row r="7" customFormat="false" ht="15" hidden="false" customHeight="false" outlineLevel="0" collapsed="false">
      <c r="A7" s="5" t="s">
        <v>28</v>
      </c>
      <c r="B7" s="5" t="n">
        <v>20</v>
      </c>
      <c r="C7" s="5" t="n">
        <v>0</v>
      </c>
      <c r="D7" s="5"/>
    </row>
    <row r="9" customFormat="false" ht="15" hidden="false" customHeight="false" outlineLevel="0" collapsed="false">
      <c r="A9" s="3" t="s">
        <v>119</v>
      </c>
    </row>
    <row r="10" customFormat="false" ht="15" hidden="false" customHeight="false" outlineLevel="0" collapsed="false">
      <c r="A10" s="4" t="s">
        <v>120</v>
      </c>
      <c r="B10" s="4" t="s">
        <v>61</v>
      </c>
    </row>
    <row r="11" customFormat="false" ht="15" hidden="false" customHeight="false" outlineLevel="0" collapsed="false">
      <c r="A11" s="5" t="s">
        <v>121</v>
      </c>
      <c r="B11" s="5" t="s">
        <v>122</v>
      </c>
    </row>
    <row r="12" customFormat="false" ht="15" hidden="false" customHeight="false" outlineLevel="0" collapsed="false">
      <c r="A12" s="4" t="s">
        <v>123</v>
      </c>
      <c r="B12" s="4" t="n">
        <v>25</v>
      </c>
    </row>
    <row r="13" customFormat="false" ht="15" hidden="false" customHeight="false" outlineLevel="0" collapsed="false">
      <c r="A13" s="5" t="s">
        <v>124</v>
      </c>
      <c r="B13" s="5" t="n"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2026-04-12T12:19:02Z</dcterms:created>
  <dc:creator>openpyxl</dc:creator>
  <dc:description/>
  <dc:language>en-US</dc:language>
  <cp:lastModifiedBy/>
  <dcterms:modified xsi:type="dcterms:W3CDTF">2026-04-12T12:19:02Z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